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Loan Model" sheetId="3" state="visible" r:id="rId3"/>
    <sheet name="Broken Formulas" sheetId="4" state="visible" r:id="rId4"/>
    <sheet name="Tasks" sheetId="5" state="visible" r:id="rId5"/>
    <sheet name="Solution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&quot;$&quot;#,##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F3F"/>
      <sz val="14"/>
    </font>
    <font>
      <b val="1"/>
    </font>
    <font>
      <b val="1"/>
      <color rgb="00084A2C"/>
      <sz val="11"/>
    </font>
    <font>
      <i val="1"/>
      <color rgb="00666666"/>
    </font>
    <font>
      <b val="1"/>
      <color rgb="00FFFFFF"/>
      <sz val="14"/>
    </font>
    <font>
      <i val="1"/>
      <color rgb="00555555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0F6F3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Product Code</t>
        </is>
      </c>
      <c r="E1" s="1" t="inlineStr">
        <is>
          <t>Quantity</t>
        </is>
      </c>
      <c r="F1" s="1" t="inlineStr">
        <is>
          <t>List Price</t>
        </is>
      </c>
      <c r="G1" s="1" t="inlineStr">
        <is>
          <t>Discount %</t>
        </is>
      </c>
      <c r="H1" s="1" t="inlineStr">
        <is>
          <t>Net Total</t>
        </is>
      </c>
    </row>
    <row r="2">
      <c r="A2" t="inlineStr">
        <is>
          <t>ORD-1001</t>
        </is>
      </c>
      <c r="B2" s="2" t="n">
        <v>46104</v>
      </c>
      <c r="C2" t="inlineStr">
        <is>
          <t>CUST-002</t>
        </is>
      </c>
      <c r="D2" t="inlineStr">
        <is>
          <t>PRD-A01</t>
        </is>
      </c>
      <c r="E2" t="n">
        <v>12</v>
      </c>
      <c r="F2" s="3" t="n">
        <v>19.99</v>
      </c>
      <c r="G2" s="4" t="n">
        <v>0</v>
      </c>
      <c r="H2" s="3">
        <f>E2*F2*(1-G2)</f>
        <v/>
      </c>
    </row>
    <row r="3">
      <c r="A3" t="inlineStr">
        <is>
          <t>ORD-1002</t>
        </is>
      </c>
      <c r="B3" s="2" t="n">
        <v>46054</v>
      </c>
      <c r="C3" t="inlineStr">
        <is>
          <t>CUST-004</t>
        </is>
      </c>
      <c r="D3" t="inlineStr">
        <is>
          <t>PRD-A02</t>
        </is>
      </c>
      <c r="E3" t="n">
        <v>12</v>
      </c>
      <c r="F3" s="3" t="n">
        <v>49.99</v>
      </c>
      <c r="G3" s="4" t="n">
        <v>0</v>
      </c>
      <c r="H3" s="3">
        <f>E3*F3*(1-G3)</f>
        <v/>
      </c>
    </row>
    <row r="4">
      <c r="A4" t="inlineStr">
        <is>
          <t>ORD-1003</t>
        </is>
      </c>
      <c r="B4" s="2" t="n">
        <v>46109</v>
      </c>
      <c r="C4" t="inlineStr">
        <is>
          <t>CUST-002</t>
        </is>
      </c>
      <c r="D4" t="inlineStr">
        <is>
          <t>PRD-C01</t>
        </is>
      </c>
      <c r="E4" t="n">
        <v>7</v>
      </c>
      <c r="F4" s="3" t="n">
        <v>249.99</v>
      </c>
      <c r="G4" s="4" t="n">
        <v>0</v>
      </c>
      <c r="H4" s="3">
        <f>E4*F4*(1-G4)</f>
        <v/>
      </c>
    </row>
    <row r="5">
      <c r="A5" t="inlineStr">
        <is>
          <t>ORD-1004</t>
        </is>
      </c>
      <c r="B5" s="2" t="n">
        <v>46026</v>
      </c>
      <c r="C5" t="inlineStr">
        <is>
          <t>CUST-002</t>
        </is>
      </c>
      <c r="D5" t="inlineStr">
        <is>
          <t>PRD-A02</t>
        </is>
      </c>
      <c r="E5" t="n">
        <v>4</v>
      </c>
      <c r="F5" s="3" t="n">
        <v>49.99</v>
      </c>
      <c r="G5" s="4" t="n">
        <v>0.1</v>
      </c>
      <c r="H5" s="3">
        <f>E5*F5*(1-G5)</f>
        <v/>
      </c>
    </row>
    <row r="6">
      <c r="A6" t="inlineStr">
        <is>
          <t>ORD-1005</t>
        </is>
      </c>
      <c r="B6" s="2" t="n">
        <v>46100</v>
      </c>
      <c r="C6" t="inlineStr">
        <is>
          <t>CUST-001</t>
        </is>
      </c>
      <c r="D6" t="inlineStr">
        <is>
          <t>PRD-C01</t>
        </is>
      </c>
      <c r="E6" t="n">
        <v>4</v>
      </c>
      <c r="F6" s="3" t="n">
        <v>249.99</v>
      </c>
      <c r="G6" s="4" t="n">
        <v>0.15</v>
      </c>
      <c r="H6" s="3">
        <f>E6*F6*(1-G6)</f>
        <v/>
      </c>
    </row>
    <row r="7">
      <c r="A7" t="inlineStr">
        <is>
          <t>ORD-1006</t>
        </is>
      </c>
      <c r="B7" s="2" t="n">
        <v>46106</v>
      </c>
      <c r="C7" t="inlineStr">
        <is>
          <t>CUST-007</t>
        </is>
      </c>
      <c r="D7" t="inlineStr">
        <is>
          <t>PRD-A02</t>
        </is>
      </c>
      <c r="E7" t="n">
        <v>8</v>
      </c>
      <c r="F7" s="3" t="n">
        <v>49.99</v>
      </c>
      <c r="G7" s="4" t="n">
        <v>0.1</v>
      </c>
      <c r="H7" s="3">
        <f>E7*F7*(1-G7)</f>
        <v/>
      </c>
    </row>
    <row r="8">
      <c r="A8" t="inlineStr">
        <is>
          <t>ORD-1007</t>
        </is>
      </c>
      <c r="B8" s="2" t="n">
        <v>46058</v>
      </c>
      <c r="C8" t="inlineStr">
        <is>
          <t>CUST-001</t>
        </is>
      </c>
      <c r="D8" t="inlineStr">
        <is>
          <t>PRD-A02</t>
        </is>
      </c>
      <c r="E8" t="n">
        <v>12</v>
      </c>
      <c r="F8" s="3" t="n">
        <v>49.99</v>
      </c>
      <c r="G8" s="4" t="n">
        <v>0.05</v>
      </c>
      <c r="H8" s="3">
        <f>E8*F8*(1-G8)</f>
        <v/>
      </c>
    </row>
    <row r="9">
      <c r="A9" t="inlineStr">
        <is>
          <t>ORD-1008</t>
        </is>
      </c>
      <c r="B9" s="2" t="n">
        <v>46066</v>
      </c>
      <c r="C9" t="inlineStr">
        <is>
          <t>CUST-005</t>
        </is>
      </c>
      <c r="D9" t="inlineStr">
        <is>
          <t>PRD-A02</t>
        </is>
      </c>
      <c r="E9" t="n">
        <v>4</v>
      </c>
      <c r="F9" s="3" t="n">
        <v>49.99</v>
      </c>
      <c r="G9" s="4" t="n">
        <v>0.2</v>
      </c>
      <c r="H9" s="3">
        <f>E9*F9*(1-G9)</f>
        <v/>
      </c>
    </row>
    <row r="10">
      <c r="A10" t="inlineStr">
        <is>
          <t>ORD-1009</t>
        </is>
      </c>
      <c r="B10" s="2" t="n">
        <v>46066</v>
      </c>
      <c r="C10" t="inlineStr">
        <is>
          <t>CUST-002</t>
        </is>
      </c>
      <c r="D10" t="inlineStr">
        <is>
          <t>PRD-A01</t>
        </is>
      </c>
      <c r="E10" t="n">
        <v>7</v>
      </c>
      <c r="F10" s="3" t="n">
        <v>19.99</v>
      </c>
      <c r="G10" s="4" t="n">
        <v>0</v>
      </c>
      <c r="H10" s="3">
        <f>E10*F10*(1-G10)</f>
        <v/>
      </c>
    </row>
    <row r="11">
      <c r="A11" t="inlineStr">
        <is>
          <t>ORD-1010</t>
        </is>
      </c>
      <c r="B11" s="2" t="n">
        <v>46068</v>
      </c>
      <c r="C11" t="inlineStr">
        <is>
          <t>CUST-006</t>
        </is>
      </c>
      <c r="D11" t="inlineStr">
        <is>
          <t>PRD-C01</t>
        </is>
      </c>
      <c r="E11" t="n">
        <v>5</v>
      </c>
      <c r="F11" s="3" t="n">
        <v>249.99</v>
      </c>
      <c r="G11" s="4" t="n">
        <v>0.2</v>
      </c>
      <c r="H11" s="3">
        <f>E11*F11*(1-G11)</f>
        <v/>
      </c>
    </row>
    <row r="12">
      <c r="A12" t="inlineStr">
        <is>
          <t>ORD-1011</t>
        </is>
      </c>
      <c r="B12" s="2" t="n">
        <v>46028</v>
      </c>
      <c r="C12" t="inlineStr">
        <is>
          <t>CUST-008</t>
        </is>
      </c>
      <c r="D12" t="inlineStr">
        <is>
          <t>PRD-C01</t>
        </is>
      </c>
      <c r="E12" t="n">
        <v>2</v>
      </c>
      <c r="F12" s="3" t="n">
        <v>249.99</v>
      </c>
      <c r="G12" s="4" t="n">
        <v>0.05</v>
      </c>
      <c r="H12" s="3">
        <f>E12*F12*(1-G12)</f>
        <v/>
      </c>
    </row>
    <row r="13">
      <c r="A13" t="inlineStr">
        <is>
          <t>ORD-1012</t>
        </is>
      </c>
      <c r="B13" s="2" t="n">
        <v>46033</v>
      </c>
      <c r="C13" t="inlineStr">
        <is>
          <t>CUST-005</t>
        </is>
      </c>
      <c r="D13" t="inlineStr">
        <is>
          <t>PRD-C02</t>
        </is>
      </c>
      <c r="E13" t="n">
        <v>10</v>
      </c>
      <c r="F13" s="3" t="n">
        <v>399.99</v>
      </c>
      <c r="G13" s="4" t="n">
        <v>0.2</v>
      </c>
      <c r="H13" s="3">
        <f>E13*F13*(1-G13)</f>
        <v/>
      </c>
    </row>
    <row r="14">
      <c r="A14" t="inlineStr">
        <is>
          <t>ORD-1013</t>
        </is>
      </c>
      <c r="B14" s="2" t="n">
        <v>46069</v>
      </c>
      <c r="C14" t="inlineStr">
        <is>
          <t>CUST-004</t>
        </is>
      </c>
      <c r="D14" t="inlineStr">
        <is>
          <t>PRD-C02</t>
        </is>
      </c>
      <c r="E14" t="n">
        <v>2</v>
      </c>
      <c r="F14" s="3" t="n">
        <v>399.99</v>
      </c>
      <c r="G14" s="4" t="n">
        <v>0</v>
      </c>
      <c r="H14" s="3">
        <f>E14*F14*(1-G14)</f>
        <v/>
      </c>
    </row>
    <row r="15">
      <c r="A15" t="inlineStr">
        <is>
          <t>ORD-1014</t>
        </is>
      </c>
      <c r="B15" s="2" t="n">
        <v>46107</v>
      </c>
      <c r="C15" t="inlineStr">
        <is>
          <t>CUST-004</t>
        </is>
      </c>
      <c r="D15" t="inlineStr">
        <is>
          <t>PRD-B01</t>
        </is>
      </c>
      <c r="E15" t="n">
        <v>2</v>
      </c>
      <c r="F15" s="3" t="n">
        <v>89.98999999999999</v>
      </c>
      <c r="G15" s="4" t="n">
        <v>0.2</v>
      </c>
      <c r="H15" s="3">
        <f>E15*F15*(1-G15)</f>
        <v/>
      </c>
    </row>
    <row r="16">
      <c r="A16" t="inlineStr">
        <is>
          <t>ORD-1015</t>
        </is>
      </c>
      <c r="B16" s="2" t="n">
        <v>46052</v>
      </c>
      <c r="C16" t="inlineStr">
        <is>
          <t>CUST-002</t>
        </is>
      </c>
      <c r="D16" t="inlineStr">
        <is>
          <t>PRD-B02</t>
        </is>
      </c>
      <c r="E16" t="n">
        <v>5</v>
      </c>
      <c r="F16" s="3" t="n">
        <v>129.99</v>
      </c>
      <c r="G16" s="4" t="n">
        <v>0.05</v>
      </c>
      <c r="H16" s="3">
        <f>E16*F16*(1-G16)</f>
        <v/>
      </c>
    </row>
    <row r="17">
      <c r="A17" t="inlineStr">
        <is>
          <t>ORD-1016</t>
        </is>
      </c>
      <c r="B17" s="2" t="n">
        <v>46104</v>
      </c>
      <c r="C17" t="inlineStr">
        <is>
          <t>CUST-006</t>
        </is>
      </c>
      <c r="D17" t="inlineStr">
        <is>
          <t>PRD-A02</t>
        </is>
      </c>
      <c r="E17" t="n">
        <v>6</v>
      </c>
      <c r="F17" s="3" t="n">
        <v>49.99</v>
      </c>
      <c r="G17" s="4" t="n">
        <v>0</v>
      </c>
      <c r="H17" s="3">
        <f>E17*F17*(1-G17)</f>
        <v/>
      </c>
    </row>
    <row r="18">
      <c r="A18" t="inlineStr">
        <is>
          <t>ORD-1017</t>
        </is>
      </c>
      <c r="B18" s="2" t="n">
        <v>46049</v>
      </c>
      <c r="C18" t="inlineStr">
        <is>
          <t>CUST-005</t>
        </is>
      </c>
      <c r="D18" t="inlineStr">
        <is>
          <t>PRD-C02</t>
        </is>
      </c>
      <c r="E18" t="n">
        <v>11</v>
      </c>
      <c r="F18" s="3" t="n">
        <v>399.99</v>
      </c>
      <c r="G18" s="4" t="n">
        <v>0.15</v>
      </c>
      <c r="H18" s="3">
        <f>E18*F18*(1-G18)</f>
        <v/>
      </c>
    </row>
    <row r="19">
      <c r="A19" t="inlineStr">
        <is>
          <t>ORD-1018</t>
        </is>
      </c>
      <c r="B19" s="2" t="n">
        <v>46032</v>
      </c>
      <c r="C19" t="inlineStr">
        <is>
          <t>CUST-003</t>
        </is>
      </c>
      <c r="D19" t="inlineStr">
        <is>
          <t>PRD-C01</t>
        </is>
      </c>
      <c r="E19" t="n">
        <v>12</v>
      </c>
      <c r="F19" s="3" t="n">
        <v>249.99</v>
      </c>
      <c r="G19" s="4" t="n">
        <v>0</v>
      </c>
      <c r="H19" s="3">
        <f>E19*F19*(1-G19)</f>
        <v/>
      </c>
    </row>
    <row r="20">
      <c r="A20" t="inlineStr">
        <is>
          <t>ORD-1019</t>
        </is>
      </c>
      <c r="B20" s="2" t="n">
        <v>46043</v>
      </c>
      <c r="C20" t="inlineStr">
        <is>
          <t>CUST-008</t>
        </is>
      </c>
      <c r="D20" t="inlineStr">
        <is>
          <t>PRD-B02</t>
        </is>
      </c>
      <c r="E20" t="n">
        <v>5</v>
      </c>
      <c r="F20" s="3" t="n">
        <v>129.99</v>
      </c>
      <c r="G20" s="4" t="n">
        <v>0.15</v>
      </c>
      <c r="H20" s="3">
        <f>E20*F20*(1-G20)</f>
        <v/>
      </c>
    </row>
    <row r="21">
      <c r="A21" t="inlineStr">
        <is>
          <t>ORD-1020</t>
        </is>
      </c>
      <c r="B21" s="2" t="n">
        <v>46111</v>
      </c>
      <c r="C21" t="inlineStr">
        <is>
          <t>CUST-004</t>
        </is>
      </c>
      <c r="D21" t="inlineStr">
        <is>
          <t>PRD-C02</t>
        </is>
      </c>
      <c r="E21" t="n">
        <v>6</v>
      </c>
      <c r="F21" s="3" t="n">
        <v>399.99</v>
      </c>
      <c r="G21" s="4" t="n">
        <v>0.2</v>
      </c>
      <c r="H21" s="3">
        <f>E21*F21*(1-G21)</f>
        <v/>
      </c>
    </row>
    <row r="22">
      <c r="A22" t="inlineStr">
        <is>
          <t>ORD-1021</t>
        </is>
      </c>
      <c r="B22" s="2" t="n">
        <v>46121</v>
      </c>
      <c r="C22" t="inlineStr">
        <is>
          <t>CUST-001</t>
        </is>
      </c>
      <c r="D22" t="inlineStr">
        <is>
          <t>PRD-A02</t>
        </is>
      </c>
      <c r="E22" t="n">
        <v>1</v>
      </c>
      <c r="F22" s="3" t="n">
        <v>49.99</v>
      </c>
      <c r="G22" s="4" t="n">
        <v>0.2</v>
      </c>
      <c r="H22" s="3">
        <f>E22*F22*(1-G22)</f>
        <v/>
      </c>
    </row>
    <row r="23">
      <c r="A23" t="inlineStr">
        <is>
          <t>ORD-1022</t>
        </is>
      </c>
      <c r="B23" s="2" t="n">
        <v>46063</v>
      </c>
      <c r="C23" t="inlineStr">
        <is>
          <t>CUST-007</t>
        </is>
      </c>
      <c r="D23" t="inlineStr">
        <is>
          <t>PRD-B01</t>
        </is>
      </c>
      <c r="E23" t="n">
        <v>2</v>
      </c>
      <c r="F23" s="3" t="n">
        <v>89.98999999999999</v>
      </c>
      <c r="G23" s="4" t="n">
        <v>0</v>
      </c>
      <c r="H23" s="3">
        <f>E23*F23*(1-G23)</f>
        <v/>
      </c>
    </row>
    <row r="24">
      <c r="A24" t="inlineStr">
        <is>
          <t>ORD-1023</t>
        </is>
      </c>
      <c r="B24" s="2" t="n">
        <v>46139</v>
      </c>
      <c r="C24" t="inlineStr">
        <is>
          <t>CUST-006</t>
        </is>
      </c>
      <c r="D24" t="inlineStr">
        <is>
          <t>PRD-A02</t>
        </is>
      </c>
      <c r="E24" t="n">
        <v>11</v>
      </c>
      <c r="F24" s="3" t="n">
        <v>49.99</v>
      </c>
      <c r="G24" s="4" t="n">
        <v>0.05</v>
      </c>
      <c r="H24" s="3">
        <f>E24*F24*(1-G24)</f>
        <v/>
      </c>
    </row>
    <row r="25">
      <c r="A25" t="inlineStr">
        <is>
          <t>ORD-1024</t>
        </is>
      </c>
      <c r="B25" s="2" t="n">
        <v>46073</v>
      </c>
      <c r="C25" t="inlineStr">
        <is>
          <t>CUST-008</t>
        </is>
      </c>
      <c r="D25" t="inlineStr">
        <is>
          <t>PRD-A02</t>
        </is>
      </c>
      <c r="E25" t="n">
        <v>5</v>
      </c>
      <c r="F25" s="3" t="n">
        <v>49.99</v>
      </c>
      <c r="G25" s="4" t="n">
        <v>0</v>
      </c>
      <c r="H25" s="3">
        <f>E25*F25*(1-G25)</f>
        <v/>
      </c>
    </row>
    <row r="26">
      <c r="A26" t="inlineStr">
        <is>
          <t>ORD-1025</t>
        </is>
      </c>
      <c r="B26" s="2" t="n">
        <v>46054</v>
      </c>
      <c r="C26" t="inlineStr">
        <is>
          <t>CUST-005</t>
        </is>
      </c>
      <c r="D26" t="inlineStr">
        <is>
          <t>PRD-C02</t>
        </is>
      </c>
      <c r="E26" t="n">
        <v>10</v>
      </c>
      <c r="F26" s="3" t="n">
        <v>399.99</v>
      </c>
      <c r="G26" s="4" t="n">
        <v>0.05</v>
      </c>
      <c r="H26" s="3">
        <f>E26*F26*(1-G26)</f>
        <v/>
      </c>
    </row>
    <row r="27">
      <c r="A27" t="inlineStr">
        <is>
          <t>ORD-1026</t>
        </is>
      </c>
      <c r="B27" s="2" t="n">
        <v>46137</v>
      </c>
      <c r="C27" t="inlineStr">
        <is>
          <t>CUST-007</t>
        </is>
      </c>
      <c r="D27" t="inlineStr">
        <is>
          <t>PRD-B01</t>
        </is>
      </c>
      <c r="E27" t="n">
        <v>4</v>
      </c>
      <c r="F27" s="3" t="n">
        <v>89.98999999999999</v>
      </c>
      <c r="G27" s="4" t="n">
        <v>0</v>
      </c>
      <c r="H27" s="3">
        <f>E27*F27*(1-G27)</f>
        <v/>
      </c>
    </row>
    <row r="28">
      <c r="A28" t="inlineStr">
        <is>
          <t>ORD-1027</t>
        </is>
      </c>
      <c r="B28" s="2" t="n">
        <v>46088</v>
      </c>
      <c r="C28" t="inlineStr">
        <is>
          <t>CUST-008</t>
        </is>
      </c>
      <c r="D28" t="inlineStr">
        <is>
          <t>PRD-A01</t>
        </is>
      </c>
      <c r="E28" t="n">
        <v>1</v>
      </c>
      <c r="F28" s="3" t="n">
        <v>19.99</v>
      </c>
      <c r="G28" s="4" t="n">
        <v>0.2</v>
      </c>
      <c r="H28" s="3">
        <f>E28*F28*(1-G28)</f>
        <v/>
      </c>
    </row>
    <row r="29">
      <c r="A29" t="inlineStr">
        <is>
          <t>ORD-1028</t>
        </is>
      </c>
      <c r="B29" s="2" t="n">
        <v>46037</v>
      </c>
      <c r="C29" t="inlineStr">
        <is>
          <t>CUST-003</t>
        </is>
      </c>
      <c r="D29" t="inlineStr">
        <is>
          <t>PRD-C02</t>
        </is>
      </c>
      <c r="E29" t="n">
        <v>3</v>
      </c>
      <c r="F29" s="3" t="n">
        <v>399.99</v>
      </c>
      <c r="G29" s="4" t="n">
        <v>0.2</v>
      </c>
      <c r="H29" s="3">
        <f>E29*F29*(1-G29)</f>
        <v/>
      </c>
    </row>
    <row r="30">
      <c r="A30" t="inlineStr">
        <is>
          <t>ORD-1029</t>
        </is>
      </c>
      <c r="B30" s="2" t="n">
        <v>46110</v>
      </c>
      <c r="C30" t="inlineStr">
        <is>
          <t>CUST-007</t>
        </is>
      </c>
      <c r="D30" t="inlineStr">
        <is>
          <t>PRD-C01</t>
        </is>
      </c>
      <c r="E30" t="n">
        <v>2</v>
      </c>
      <c r="F30" s="3" t="n">
        <v>249.99</v>
      </c>
      <c r="G30" s="4" t="n">
        <v>0.05</v>
      </c>
      <c r="H30" s="3">
        <f>E30*F30*(1-G30)</f>
        <v/>
      </c>
    </row>
    <row r="31">
      <c r="A31" t="inlineStr">
        <is>
          <t>ORD-1030</t>
        </is>
      </c>
      <c r="B31" s="2" t="n">
        <v>46071</v>
      </c>
      <c r="C31" t="inlineStr">
        <is>
          <t>CUST-008</t>
        </is>
      </c>
      <c r="D31" t="inlineStr">
        <is>
          <t>PRD-C01</t>
        </is>
      </c>
      <c r="E31" t="n">
        <v>5</v>
      </c>
      <c r="F31" s="3" t="n">
        <v>249.99</v>
      </c>
      <c r="G31" s="4" t="n">
        <v>0.1</v>
      </c>
      <c r="H31" s="3">
        <f>E31*F31*(1-G31)</f>
        <v/>
      </c>
    </row>
    <row r="32">
      <c r="A32" t="inlineStr">
        <is>
          <t>ORD-1031</t>
        </is>
      </c>
      <c r="B32" s="2" t="n">
        <v>46133</v>
      </c>
      <c r="C32" t="inlineStr">
        <is>
          <t>CUST-001</t>
        </is>
      </c>
      <c r="D32" t="inlineStr">
        <is>
          <t>PRD-C02</t>
        </is>
      </c>
      <c r="E32" t="n">
        <v>12</v>
      </c>
      <c r="F32" s="3" t="n">
        <v>399.99</v>
      </c>
      <c r="G32" s="4" t="n">
        <v>0</v>
      </c>
      <c r="H32" s="3">
        <f>E32*F32*(1-G32)</f>
        <v/>
      </c>
    </row>
    <row r="33">
      <c r="A33" t="inlineStr">
        <is>
          <t>ORD-1032</t>
        </is>
      </c>
      <c r="B33" s="2" t="n">
        <v>46110</v>
      </c>
      <c r="C33" t="inlineStr">
        <is>
          <t>CUST-005</t>
        </is>
      </c>
      <c r="D33" t="inlineStr">
        <is>
          <t>PRD-C02</t>
        </is>
      </c>
      <c r="E33" t="n">
        <v>6</v>
      </c>
      <c r="F33" s="3" t="n">
        <v>399.99</v>
      </c>
      <c r="G33" s="4" t="n">
        <v>0</v>
      </c>
      <c r="H33" s="3">
        <f>E33*F33*(1-G33)</f>
        <v/>
      </c>
    </row>
    <row r="34">
      <c r="A34" t="inlineStr">
        <is>
          <t>ORD-1033</t>
        </is>
      </c>
      <c r="B34" s="2" t="n">
        <v>46060</v>
      </c>
      <c r="C34" t="inlineStr">
        <is>
          <t>CUST-007</t>
        </is>
      </c>
      <c r="D34" t="inlineStr">
        <is>
          <t>PRD-A02</t>
        </is>
      </c>
      <c r="E34" t="n">
        <v>8</v>
      </c>
      <c r="F34" s="3" t="n">
        <v>49.99</v>
      </c>
      <c r="G34" s="4" t="n">
        <v>0</v>
      </c>
      <c r="H34" s="3">
        <f>E34*F34*(1-G34)</f>
        <v/>
      </c>
    </row>
    <row r="35">
      <c r="A35" t="inlineStr">
        <is>
          <t>ORD-1034</t>
        </is>
      </c>
      <c r="B35" s="2" t="n">
        <v>46115</v>
      </c>
      <c r="C35" t="inlineStr">
        <is>
          <t>CUST-005</t>
        </is>
      </c>
      <c r="D35" t="inlineStr">
        <is>
          <t>PRD-C01</t>
        </is>
      </c>
      <c r="E35" t="n">
        <v>3</v>
      </c>
      <c r="F35" s="3" t="n">
        <v>249.99</v>
      </c>
      <c r="G35" s="4" t="n">
        <v>0.1</v>
      </c>
      <c r="H35" s="3">
        <f>E35*F35*(1-G35)</f>
        <v/>
      </c>
    </row>
    <row r="36">
      <c r="A36" t="inlineStr">
        <is>
          <t>ORD-1035</t>
        </is>
      </c>
      <c r="B36" s="2" t="n">
        <v>46139</v>
      </c>
      <c r="C36" t="inlineStr">
        <is>
          <t>CUST-002</t>
        </is>
      </c>
      <c r="D36" t="inlineStr">
        <is>
          <t>PRD-C02</t>
        </is>
      </c>
      <c r="E36" t="n">
        <v>5</v>
      </c>
      <c r="F36" s="3" t="n">
        <v>399.99</v>
      </c>
      <c r="G36" s="4" t="n">
        <v>0.2</v>
      </c>
      <c r="H36" s="3">
        <f>E36*F36*(1-G36)</f>
        <v/>
      </c>
    </row>
    <row r="37">
      <c r="A37" t="inlineStr">
        <is>
          <t>ORD-1036</t>
        </is>
      </c>
      <c r="B37" s="2" t="n">
        <v>46104</v>
      </c>
      <c r="C37" t="inlineStr">
        <is>
          <t>CUST-004</t>
        </is>
      </c>
      <c r="D37" t="inlineStr">
        <is>
          <t>PRD-A02</t>
        </is>
      </c>
      <c r="E37" t="n">
        <v>6</v>
      </c>
      <c r="F37" s="3" t="n">
        <v>49.99</v>
      </c>
      <c r="G37" s="4" t="n">
        <v>0.2</v>
      </c>
      <c r="H37" s="3">
        <f>E37*F37*(1-G37)</f>
        <v/>
      </c>
    </row>
    <row r="38">
      <c r="A38" t="inlineStr">
        <is>
          <t>ORD-1037</t>
        </is>
      </c>
      <c r="B38" s="2" t="n">
        <v>46043</v>
      </c>
      <c r="C38" t="inlineStr">
        <is>
          <t>CUST-001</t>
        </is>
      </c>
      <c r="D38" t="inlineStr">
        <is>
          <t>PRD-C01</t>
        </is>
      </c>
      <c r="E38" t="n">
        <v>6</v>
      </c>
      <c r="F38" s="3" t="n">
        <v>249.99</v>
      </c>
      <c r="G38" s="4" t="n">
        <v>0.05</v>
      </c>
      <c r="H38" s="3">
        <f>E38*F38*(1-G38)</f>
        <v/>
      </c>
    </row>
    <row r="39">
      <c r="A39" t="inlineStr">
        <is>
          <t>ORD-1038</t>
        </is>
      </c>
      <c r="B39" s="2" t="n">
        <v>46025</v>
      </c>
      <c r="C39" t="inlineStr">
        <is>
          <t>CUST-002</t>
        </is>
      </c>
      <c r="D39" t="inlineStr">
        <is>
          <t>PRD-B01</t>
        </is>
      </c>
      <c r="E39" t="n">
        <v>5</v>
      </c>
      <c r="F39" s="3" t="n">
        <v>89.98999999999999</v>
      </c>
      <c r="G39" s="4" t="n">
        <v>0</v>
      </c>
      <c r="H39" s="3">
        <f>E39*F39*(1-G39)</f>
        <v/>
      </c>
    </row>
    <row r="40">
      <c r="A40" t="inlineStr">
        <is>
          <t>ORD-1039</t>
        </is>
      </c>
      <c r="B40" s="2" t="n">
        <v>46030</v>
      </c>
      <c r="C40" t="inlineStr">
        <is>
          <t>CUST-004</t>
        </is>
      </c>
      <c r="D40" t="inlineStr">
        <is>
          <t>PRD-C01</t>
        </is>
      </c>
      <c r="E40" t="n">
        <v>2</v>
      </c>
      <c r="F40" s="3" t="n">
        <v>249.99</v>
      </c>
      <c r="G40" s="4" t="n">
        <v>0</v>
      </c>
      <c r="H40" s="3">
        <f>E40*F40*(1-G40)</f>
        <v/>
      </c>
    </row>
    <row r="41">
      <c r="A41" t="inlineStr">
        <is>
          <t>ORD-1040</t>
        </is>
      </c>
      <c r="B41" s="2" t="n">
        <v>46116</v>
      </c>
      <c r="C41" t="inlineStr">
        <is>
          <t>CUST-008</t>
        </is>
      </c>
      <c r="D41" t="inlineStr">
        <is>
          <t>PRD-A01</t>
        </is>
      </c>
      <c r="E41" t="n">
        <v>9</v>
      </c>
      <c r="F41" s="3" t="n">
        <v>19.99</v>
      </c>
      <c r="G41" s="4" t="n">
        <v>0.2</v>
      </c>
      <c r="H41" s="3">
        <f>E41*F41*(1-G41)</f>
        <v/>
      </c>
    </row>
    <row r="42">
      <c r="A42" t="inlineStr">
        <is>
          <t>ORD-1041</t>
        </is>
      </c>
      <c r="B42" s="2" t="n">
        <v>46039</v>
      </c>
      <c r="C42" t="inlineStr">
        <is>
          <t>CUST-003</t>
        </is>
      </c>
      <c r="D42" t="inlineStr">
        <is>
          <t>PRD-C02</t>
        </is>
      </c>
      <c r="E42" t="n">
        <v>8</v>
      </c>
      <c r="F42" s="3" t="n">
        <v>399.99</v>
      </c>
      <c r="G42" s="4" t="n">
        <v>0.1</v>
      </c>
      <c r="H42" s="3">
        <f>E42*F42*(1-G42)</f>
        <v/>
      </c>
    </row>
    <row r="43">
      <c r="A43" t="inlineStr">
        <is>
          <t>ORD-1042</t>
        </is>
      </c>
      <c r="B43" s="2" t="n">
        <v>46044</v>
      </c>
      <c r="C43" t="inlineStr">
        <is>
          <t>CUST-005</t>
        </is>
      </c>
      <c r="D43" t="inlineStr">
        <is>
          <t>PRD-C01</t>
        </is>
      </c>
      <c r="E43" t="n">
        <v>10</v>
      </c>
      <c r="F43" s="3" t="n">
        <v>249.99</v>
      </c>
      <c r="G43" s="4" t="n">
        <v>0.05</v>
      </c>
      <c r="H43" s="3">
        <f>E43*F43*(1-G43)</f>
        <v/>
      </c>
    </row>
    <row r="44">
      <c r="A44" t="inlineStr">
        <is>
          <t>ORD-1043</t>
        </is>
      </c>
      <c r="B44" s="2" t="n">
        <v>46050</v>
      </c>
      <c r="C44" t="inlineStr">
        <is>
          <t>CUST-004</t>
        </is>
      </c>
      <c r="D44" t="inlineStr">
        <is>
          <t>PRD-C02</t>
        </is>
      </c>
      <c r="E44" t="n">
        <v>5</v>
      </c>
      <c r="F44" s="3" t="n">
        <v>399.99</v>
      </c>
      <c r="G44" s="4" t="n">
        <v>0.05</v>
      </c>
      <c r="H44" s="3">
        <f>E44*F44*(1-G44)</f>
        <v/>
      </c>
    </row>
    <row r="45">
      <c r="A45" t="inlineStr">
        <is>
          <t>ORD-1044</t>
        </is>
      </c>
      <c r="B45" s="2" t="n">
        <v>46108</v>
      </c>
      <c r="C45" t="inlineStr">
        <is>
          <t>CUST-006</t>
        </is>
      </c>
      <c r="D45" t="inlineStr">
        <is>
          <t>PRD-B02</t>
        </is>
      </c>
      <c r="E45" t="n">
        <v>9</v>
      </c>
      <c r="F45" s="3" t="n">
        <v>129.99</v>
      </c>
      <c r="G45" s="4" t="n">
        <v>0.05</v>
      </c>
      <c r="H45" s="3">
        <f>E45*F45*(1-G45)</f>
        <v/>
      </c>
    </row>
    <row r="46">
      <c r="A46" t="inlineStr">
        <is>
          <t>ORD-1045</t>
        </is>
      </c>
      <c r="B46" s="2" t="n">
        <v>46038</v>
      </c>
      <c r="C46" t="inlineStr">
        <is>
          <t>CUST-004</t>
        </is>
      </c>
      <c r="D46" t="inlineStr">
        <is>
          <t>PRD-A02</t>
        </is>
      </c>
      <c r="E46" t="n">
        <v>2</v>
      </c>
      <c r="F46" s="3" t="n">
        <v>49.99</v>
      </c>
      <c r="G46" s="4" t="n">
        <v>0</v>
      </c>
      <c r="H46" s="3">
        <f>E46*F46*(1-G46)</f>
        <v/>
      </c>
    </row>
    <row r="47">
      <c r="A47" t="inlineStr">
        <is>
          <t>ORD-1046</t>
        </is>
      </c>
      <c r="B47" s="2" t="n">
        <v>46025</v>
      </c>
      <c r="C47" t="inlineStr">
        <is>
          <t>CUST-004</t>
        </is>
      </c>
      <c r="D47" t="inlineStr">
        <is>
          <t>PRD-C01</t>
        </is>
      </c>
      <c r="E47" t="n">
        <v>4</v>
      </c>
      <c r="F47" s="3" t="n">
        <v>249.99</v>
      </c>
      <c r="G47" s="4" t="n">
        <v>0</v>
      </c>
      <c r="H47" s="3">
        <f>E47*F47*(1-G47)</f>
        <v/>
      </c>
    </row>
    <row r="48">
      <c r="A48" t="inlineStr">
        <is>
          <t>ORD-1047</t>
        </is>
      </c>
      <c r="B48" s="2" t="n">
        <v>46032</v>
      </c>
      <c r="C48" t="inlineStr">
        <is>
          <t>CUST-001</t>
        </is>
      </c>
      <c r="D48" t="inlineStr">
        <is>
          <t>PRD-A02</t>
        </is>
      </c>
      <c r="E48" t="n">
        <v>2</v>
      </c>
      <c r="F48" s="3" t="n">
        <v>49.99</v>
      </c>
      <c r="G48" s="4" t="n">
        <v>0</v>
      </c>
      <c r="H48" s="3">
        <f>E48*F48*(1-G48)</f>
        <v/>
      </c>
    </row>
    <row r="49">
      <c r="A49" t="inlineStr">
        <is>
          <t>ORD-1048</t>
        </is>
      </c>
      <c r="B49" s="2" t="n">
        <v>46133</v>
      </c>
      <c r="C49" t="inlineStr">
        <is>
          <t>CUST-006</t>
        </is>
      </c>
      <c r="D49" t="inlineStr">
        <is>
          <t>PRD-A01</t>
        </is>
      </c>
      <c r="E49" t="n">
        <v>9</v>
      </c>
      <c r="F49" s="3" t="n">
        <v>19.99</v>
      </c>
      <c r="G49" s="4" t="n">
        <v>0</v>
      </c>
      <c r="H49" s="3">
        <f>E49*F49*(1-G49)</f>
        <v/>
      </c>
    </row>
    <row r="50">
      <c r="A50" t="inlineStr">
        <is>
          <t>ORD-1049</t>
        </is>
      </c>
      <c r="B50" s="2" t="n">
        <v>46058</v>
      </c>
      <c r="C50" t="inlineStr">
        <is>
          <t>CUST-008</t>
        </is>
      </c>
      <c r="D50" t="inlineStr">
        <is>
          <t>PRD-A02</t>
        </is>
      </c>
      <c r="E50" t="n">
        <v>9</v>
      </c>
      <c r="F50" s="3" t="n">
        <v>49.99</v>
      </c>
      <c r="G50" s="4" t="n">
        <v>0</v>
      </c>
      <c r="H50" s="3">
        <f>E50*F50*(1-G50)</f>
        <v/>
      </c>
    </row>
    <row r="51">
      <c r="A51" t="inlineStr">
        <is>
          <t>ORD-1050</t>
        </is>
      </c>
      <c r="B51" s="2" t="n">
        <v>46115</v>
      </c>
      <c r="C51" t="inlineStr">
        <is>
          <t>CUST-008</t>
        </is>
      </c>
      <c r="D51" t="inlineStr">
        <is>
          <t>PRD-A02</t>
        </is>
      </c>
      <c r="E51" t="n">
        <v>8</v>
      </c>
      <c r="F51" s="3" t="n">
        <v>49.99</v>
      </c>
      <c r="G51" s="4" t="n">
        <v>0.2</v>
      </c>
      <c r="H51" s="3">
        <f>E51*F51*(1-G51)</f>
        <v/>
      </c>
    </row>
    <row r="52">
      <c r="A52" t="inlineStr">
        <is>
          <t>ORD-1051</t>
        </is>
      </c>
      <c r="B52" s="2" t="n">
        <v>46075</v>
      </c>
      <c r="C52" t="inlineStr">
        <is>
          <t>CUST-004</t>
        </is>
      </c>
      <c r="D52" t="inlineStr">
        <is>
          <t>PRD-A01</t>
        </is>
      </c>
      <c r="E52" t="n">
        <v>2</v>
      </c>
      <c r="F52" s="3" t="n">
        <v>19.99</v>
      </c>
      <c r="G52" s="4" t="n">
        <v>0.15</v>
      </c>
      <c r="H52" s="3">
        <f>E52*F52*(1-G52)</f>
        <v/>
      </c>
    </row>
    <row r="53">
      <c r="A53" t="inlineStr">
        <is>
          <t>ORD-1052</t>
        </is>
      </c>
      <c r="B53" s="2" t="n">
        <v>46078</v>
      </c>
      <c r="C53" t="inlineStr">
        <is>
          <t>CUST-006</t>
        </is>
      </c>
      <c r="D53" t="inlineStr">
        <is>
          <t>PRD-B02</t>
        </is>
      </c>
      <c r="E53" t="n">
        <v>7</v>
      </c>
      <c r="F53" s="3" t="n">
        <v>129.99</v>
      </c>
      <c r="G53" s="4" t="n">
        <v>0.05</v>
      </c>
      <c r="H53" s="3">
        <f>E53*F53*(1-G53)</f>
        <v/>
      </c>
    </row>
    <row r="54">
      <c r="A54" t="inlineStr">
        <is>
          <t>ORD-1053</t>
        </is>
      </c>
      <c r="B54" s="2" t="n">
        <v>46133</v>
      </c>
      <c r="C54" t="inlineStr">
        <is>
          <t>CUST-001</t>
        </is>
      </c>
      <c r="D54" t="inlineStr">
        <is>
          <t>PRD-C02</t>
        </is>
      </c>
      <c r="E54" t="n">
        <v>11</v>
      </c>
      <c r="F54" s="3" t="n">
        <v>399.99</v>
      </c>
      <c r="G54" s="4" t="n">
        <v>0.15</v>
      </c>
      <c r="H54" s="3">
        <f>E54*F54*(1-G54)</f>
        <v/>
      </c>
    </row>
    <row r="55">
      <c r="A55" t="inlineStr">
        <is>
          <t>ORD-1054</t>
        </is>
      </c>
      <c r="B55" s="2" t="n">
        <v>46035</v>
      </c>
      <c r="C55" t="inlineStr">
        <is>
          <t>CUST-001</t>
        </is>
      </c>
      <c r="D55" t="inlineStr">
        <is>
          <t>PRD-B02</t>
        </is>
      </c>
      <c r="E55" t="n">
        <v>12</v>
      </c>
      <c r="F55" s="3" t="n">
        <v>129.99</v>
      </c>
      <c r="G55" s="4" t="n">
        <v>0</v>
      </c>
      <c r="H55" s="3">
        <f>E55*F55*(1-G55)</f>
        <v/>
      </c>
    </row>
    <row r="56">
      <c r="A56" t="inlineStr">
        <is>
          <t>ORD-1055</t>
        </is>
      </c>
      <c r="B56" s="2" t="n">
        <v>46125</v>
      </c>
      <c r="C56" t="inlineStr">
        <is>
          <t>CUST-002</t>
        </is>
      </c>
      <c r="D56" t="inlineStr">
        <is>
          <t>PRD-A02</t>
        </is>
      </c>
      <c r="E56" t="n">
        <v>4</v>
      </c>
      <c r="F56" s="3" t="n">
        <v>49.99</v>
      </c>
      <c r="G56" s="4" t="n">
        <v>0</v>
      </c>
      <c r="H56" s="3">
        <f>E56*F56*(1-G56)</f>
        <v/>
      </c>
    </row>
    <row r="57">
      <c r="A57" t="inlineStr">
        <is>
          <t>ORD-1056</t>
        </is>
      </c>
      <c r="B57" s="2" t="n">
        <v>46091</v>
      </c>
      <c r="C57" t="inlineStr">
        <is>
          <t>CUST-008</t>
        </is>
      </c>
      <c r="D57" t="inlineStr">
        <is>
          <t>PRD-A02</t>
        </is>
      </c>
      <c r="E57" t="n">
        <v>7</v>
      </c>
      <c r="F57" s="3" t="n">
        <v>49.99</v>
      </c>
      <c r="G57" s="4" t="n">
        <v>0</v>
      </c>
      <c r="H57" s="3">
        <f>E57*F57*(1-G57)</f>
        <v/>
      </c>
    </row>
    <row r="58">
      <c r="A58" t="inlineStr">
        <is>
          <t>ORD-1057</t>
        </is>
      </c>
      <c r="B58" s="2" t="n">
        <v>46058</v>
      </c>
      <c r="C58" t="inlineStr">
        <is>
          <t>CUST-008</t>
        </is>
      </c>
      <c r="D58" t="inlineStr">
        <is>
          <t>PRD-A02</t>
        </is>
      </c>
      <c r="E58" t="n">
        <v>2</v>
      </c>
      <c r="F58" s="3" t="n">
        <v>49.99</v>
      </c>
      <c r="G58" s="4" t="n">
        <v>0.05</v>
      </c>
      <c r="H58" s="3">
        <f>E58*F58*(1-G58)</f>
        <v/>
      </c>
    </row>
    <row r="59">
      <c r="A59" t="inlineStr">
        <is>
          <t>ORD-1058</t>
        </is>
      </c>
      <c r="B59" s="2" t="n">
        <v>46126</v>
      </c>
      <c r="C59" t="inlineStr">
        <is>
          <t>CUST-002</t>
        </is>
      </c>
      <c r="D59" t="inlineStr">
        <is>
          <t>PRD-A01</t>
        </is>
      </c>
      <c r="E59" t="n">
        <v>11</v>
      </c>
      <c r="F59" s="3" t="n">
        <v>19.99</v>
      </c>
      <c r="G59" s="4" t="n">
        <v>0.1</v>
      </c>
      <c r="H59" s="3">
        <f>E59*F59*(1-G59)</f>
        <v/>
      </c>
    </row>
    <row r="60">
      <c r="A60" t="inlineStr">
        <is>
          <t>ORD-1059</t>
        </is>
      </c>
      <c r="B60" s="2" t="n">
        <v>46130</v>
      </c>
      <c r="C60" t="inlineStr">
        <is>
          <t>CUST-001</t>
        </is>
      </c>
      <c r="D60" t="inlineStr">
        <is>
          <t>PRD-A01</t>
        </is>
      </c>
      <c r="E60" t="n">
        <v>4</v>
      </c>
      <c r="F60" s="3" t="n">
        <v>19.99</v>
      </c>
      <c r="G60" s="4" t="n">
        <v>0</v>
      </c>
      <c r="H60" s="3">
        <f>E60*F60*(1-G60)</f>
        <v/>
      </c>
    </row>
    <row r="61">
      <c r="A61" t="inlineStr">
        <is>
          <t>ORD-1060</t>
        </is>
      </c>
      <c r="B61" s="2" t="n">
        <v>46075</v>
      </c>
      <c r="C61" t="inlineStr">
        <is>
          <t>CUST-008</t>
        </is>
      </c>
      <c r="D61" t="inlineStr">
        <is>
          <t>PRD-B02</t>
        </is>
      </c>
      <c r="E61" t="n">
        <v>4</v>
      </c>
      <c r="F61" s="3" t="n">
        <v>129.99</v>
      </c>
      <c r="G61" s="4" t="n">
        <v>0.2</v>
      </c>
      <c r="H61" s="3">
        <f>E61*F61*(1-G61)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Stock</t>
        </is>
      </c>
    </row>
    <row r="2">
      <c r="A2" t="inlineStr">
        <is>
          <t>PRD-A01</t>
        </is>
      </c>
      <c r="B2" t="inlineStr">
        <is>
          <t>Coffee Mug</t>
        </is>
      </c>
      <c r="C2" t="inlineStr">
        <is>
          <t>Drinkware</t>
        </is>
      </c>
      <c r="D2" t="n">
        <v>4.5</v>
      </c>
      <c r="E2" t="n">
        <v>220</v>
      </c>
    </row>
    <row r="3">
      <c r="A3" t="inlineStr">
        <is>
          <t>PRD-A02</t>
        </is>
      </c>
      <c r="B3" t="inlineStr">
        <is>
          <t>Tea Tin Set</t>
        </is>
      </c>
      <c r="C3" t="inlineStr">
        <is>
          <t>Drinkware</t>
        </is>
      </c>
      <c r="D3" t="n">
        <v>12</v>
      </c>
      <c r="E3" t="n">
        <v>150</v>
      </c>
    </row>
    <row r="4">
      <c r="A4" t="inlineStr">
        <is>
          <t>PRD-B01</t>
        </is>
      </c>
      <c r="B4" t="inlineStr">
        <is>
          <t>Premium Beans 1kg</t>
        </is>
      </c>
      <c r="C4" t="inlineStr">
        <is>
          <t>Beans</t>
        </is>
      </c>
      <c r="D4" t="n">
        <v>28</v>
      </c>
      <c r="E4" t="n">
        <v>80</v>
      </c>
    </row>
    <row r="5">
      <c r="A5" t="inlineStr">
        <is>
          <t>PRD-B02</t>
        </is>
      </c>
      <c r="B5" t="inlineStr">
        <is>
          <t>Espresso Bundle</t>
        </is>
      </c>
      <c r="C5" t="inlineStr">
        <is>
          <t>Bundles</t>
        </is>
      </c>
      <c r="D5" t="n">
        <v>55</v>
      </c>
      <c r="E5" t="n">
        <v>40</v>
      </c>
    </row>
    <row r="6">
      <c r="A6" t="inlineStr">
        <is>
          <t>PRD-C01</t>
        </is>
      </c>
      <c r="B6" t="inlineStr">
        <is>
          <t>Coffee Grinder</t>
        </is>
      </c>
      <c r="C6" t="inlineStr">
        <is>
          <t>Equipment</t>
        </is>
      </c>
      <c r="D6" t="n">
        <v>110</v>
      </c>
      <c r="E6" t="n">
        <v>25</v>
      </c>
    </row>
    <row r="7">
      <c r="A7" t="inlineStr">
        <is>
          <t>PRD-C02</t>
        </is>
      </c>
      <c r="B7" t="inlineStr">
        <is>
          <t>Espresso Machine</t>
        </is>
      </c>
      <c r="C7" t="inlineStr">
        <is>
          <t>Equipment</t>
        </is>
      </c>
      <c r="D7" t="n">
        <v>220</v>
      </c>
      <c r="E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5" t="inlineStr">
        <is>
          <t>Loan Calculator</t>
        </is>
      </c>
    </row>
    <row r="2">
      <c r="A2" s="6" t="inlineStr">
        <is>
          <t>Principal</t>
        </is>
      </c>
      <c r="B2" s="7" t="n">
        <v>250000</v>
      </c>
    </row>
    <row r="3">
      <c r="A3" s="6" t="inlineStr">
        <is>
          <t>Annual rate</t>
        </is>
      </c>
      <c r="B3" s="8" t="n">
        <v>0.065</v>
      </c>
    </row>
    <row r="4">
      <c r="A4" s="6" t="inlineStr">
        <is>
          <t>Years</t>
        </is>
      </c>
      <c r="B4" s="9" t="n">
        <v>30</v>
      </c>
    </row>
    <row r="5">
      <c r="A5" s="6" t="inlineStr">
        <is>
          <t>Periods/year</t>
        </is>
      </c>
      <c r="B5" s="9" t="n">
        <v>12</v>
      </c>
    </row>
    <row r="6">
      <c r="A6" s="6" t="inlineStr">
        <is>
          <t>Monthly payment</t>
        </is>
      </c>
      <c r="B6" s="3">
        <f>PMT(B3/B5, B4*B5, -B2)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30" customWidth="1" min="3" max="3"/>
    <col width="40" customWidth="1" min="4" max="4"/>
  </cols>
  <sheetData>
    <row r="1">
      <c r="A1" s="10" t="inlineStr">
        <is>
          <t>Each row has a formula error. Fix in column C.</t>
        </is>
      </c>
    </row>
    <row r="3">
      <c r="A3" s="1" t="inlineStr">
        <is>
          <t>Issue</t>
        </is>
      </c>
      <c r="B3" s="1" t="inlineStr">
        <is>
          <t>Bad Formula</t>
        </is>
      </c>
      <c r="C3" s="1" t="inlineStr">
        <is>
          <t>Your Fix</t>
        </is>
      </c>
      <c r="D3" s="1" t="inlineStr">
        <is>
          <t>Hint</t>
        </is>
      </c>
    </row>
    <row r="4">
      <c r="A4" t="inlineStr">
        <is>
          <t>Lookup misses target column</t>
        </is>
      </c>
      <c r="B4">
        <f>VLOOKUP("PRD-A01",Products!A:E,6,FALSE)</f>
        <v/>
      </c>
      <c r="D4" t="inlineStr">
        <is>
          <t>Should reference an existing column index.</t>
        </is>
      </c>
    </row>
    <row r="5">
      <c r="A5" t="inlineStr">
        <is>
          <t>Divide by zero</t>
        </is>
      </c>
      <c r="B5">
        <f>10/0</f>
        <v/>
      </c>
      <c r="D5" t="inlineStr">
        <is>
          <t>Wrap in IFERROR or fix denominator.</t>
        </is>
      </c>
    </row>
    <row r="6">
      <c r="A6" t="inlineStr">
        <is>
          <t>Reference deleted cell</t>
        </is>
      </c>
      <c r="B6">
        <f>#REF!*2</f>
        <v/>
      </c>
      <c r="D6" t="inlineStr">
        <is>
          <t>Re-reference the correct cell.</t>
        </is>
      </c>
    </row>
    <row r="7">
      <c r="A7" t="inlineStr">
        <is>
          <t>Misspelled name</t>
        </is>
      </c>
      <c r="B7">
        <f>SOOM(Sales!E:E)</f>
        <v/>
      </c>
      <c r="D7" t="inlineStr">
        <is>
          <t>Fix the function name.</t>
        </is>
      </c>
    </row>
    <row r="8">
      <c r="A8" t="inlineStr">
        <is>
          <t>Spill blocked</t>
        </is>
      </c>
      <c r="B8">
        <f>FILTER(Sales!A2:A60, Sales!E2:E60&gt;5)</f>
        <v/>
      </c>
      <c r="D8" t="inlineStr">
        <is>
          <t>Make sure there's room below for the spill.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8" customWidth="1" min="3" max="3"/>
    <col width="50" customWidth="1" min="4" max="4"/>
  </cols>
  <sheetData>
    <row r="1">
      <c r="A1" s="5" t="inlineStr">
        <is>
          <t>Module 3 Practice — Advanced Formulas &amp; Macros</t>
        </is>
      </c>
    </row>
    <row r="2">
      <c r="A2" s="11" t="inlineStr">
        <is>
          <t>Practice tasks for this module. Try each on the data sheets, then check against the solution hints in column D.</t>
        </is>
      </c>
    </row>
    <row r="4">
      <c r="A4" s="1" t="inlineStr">
        <is>
          <t>#</t>
        </is>
      </c>
      <c r="B4" s="1" t="inlineStr">
        <is>
          <t>Task</t>
        </is>
      </c>
      <c r="C4" s="1" t="inlineStr">
        <is>
          <t>Skill tested</t>
        </is>
      </c>
      <c r="D4" s="1" t="inlineStr">
        <is>
          <t>Hint</t>
        </is>
      </c>
    </row>
    <row r="5" ht="42" customHeight="1">
      <c r="A5" t="n">
        <v>1</v>
      </c>
      <c r="B5" s="12" t="inlineStr">
        <is>
          <t>On the Sales sheet, in column I, use XLOOKUP to fetch the Product Name from the Products sheet for each Product Code.</t>
        </is>
      </c>
      <c r="C5" s="12" t="inlineStr">
        <is>
          <t>3.2 Lookup</t>
        </is>
      </c>
      <c r="D5" s="12">
        <f>XLOOKUP(D2, Products!A:A, Products!B:B, "Not found")</f>
        <v/>
      </c>
    </row>
    <row r="6" ht="42" customHeight="1">
      <c r="A6" t="n">
        <v>2</v>
      </c>
      <c r="B6" s="12" t="inlineStr">
        <is>
          <t>In column J, use IFS to assign tier: &gt;= $500 = 'A', &gt;= $200 = 'B', otherwise 'C', based on Net Total.</t>
        </is>
      </c>
      <c r="C6" s="12" t="inlineStr">
        <is>
          <t>3.1 Logical Operations</t>
        </is>
      </c>
      <c r="D6" s="12">
        <f>IFS(H2&gt;=500,"A", H2&gt;=200,"B", TRUE,"C")</f>
        <v/>
      </c>
    </row>
    <row r="7" ht="42" customHeight="1">
      <c r="A7" t="n">
        <v>3</v>
      </c>
      <c r="B7" s="12" t="inlineStr">
        <is>
          <t>In a free cell, use FILTER to show all orders where Quantity &gt; 8 AND Discount % &gt; 0.</t>
        </is>
      </c>
      <c r="C7" s="12" t="inlineStr">
        <is>
          <t>3.5 Dynamic Arrays</t>
        </is>
      </c>
      <c r="D7" s="12">
        <f>FILTER(Sales!A2:H61, (E2:E61&gt;8)*(G2:G61&gt;0))</f>
        <v/>
      </c>
    </row>
    <row r="8" ht="42" customHeight="1">
      <c r="A8" t="n">
        <v>4</v>
      </c>
      <c r="B8" s="12" t="inlineStr">
        <is>
          <t>On Loan Model: use Goal Seek to find the principal that produces a $1,200 monthly payment at the existing rate/term.</t>
        </is>
      </c>
      <c r="C8" s="12" t="inlineStr">
        <is>
          <t>3.4 What-If Analysis</t>
        </is>
      </c>
      <c r="D8" s="12" t="inlineStr">
        <is>
          <t>Data → What-If → Goal Seek. Set B6 to 1200 by changing B2.</t>
        </is>
      </c>
    </row>
    <row r="9" ht="42" customHeight="1">
      <c r="A9" t="n">
        <v>5</v>
      </c>
      <c r="B9" s="12" t="inlineStr">
        <is>
          <t>On Loan Model: build a 1-variable Data Table showing monthly payment for rates 4%, 5%, 6%, 7%, 8%.</t>
        </is>
      </c>
      <c r="C9" s="12" t="inlineStr">
        <is>
          <t>3.4 Data Tables</t>
        </is>
      </c>
      <c r="D9" s="12" t="inlineStr">
        <is>
          <t>Set up a column of rates, results column with =B6 formula, then Data → Data Table → Column input cell = B3.</t>
        </is>
      </c>
    </row>
    <row r="10" ht="42" customHeight="1">
      <c r="A10" t="n">
        <v>6</v>
      </c>
      <c r="B10" s="12" t="inlineStr">
        <is>
          <t>Fix every formula on the Broken Formulas sheet. Use IFERROR / IFNA where appropriate.</t>
        </is>
      </c>
      <c r="C10" s="12" t="inlineStr">
        <is>
          <t>3.7 Troubleshoot Formulas</t>
        </is>
      </c>
      <c r="D10" s="12" t="inlineStr">
        <is>
          <t>Use Trace Precedents and Evaluate Formula to debug each row.</t>
        </is>
      </c>
    </row>
    <row r="11" ht="42" customHeight="1">
      <c r="A11" t="n">
        <v>7</v>
      </c>
      <c r="B11" s="12" t="inlineStr">
        <is>
          <t>Record a macro called 'FormatHeader' that bolds the active cell, fills it green, and sets white text. Save as .xlsm.</t>
        </is>
      </c>
      <c r="C11" s="12" t="inlineStr">
        <is>
          <t>3.8 Macros</t>
        </is>
      </c>
      <c r="D11" s="12" t="inlineStr">
        <is>
          <t>Developer → Record Macro. Save the workbook as .xlsm to keep the macro.</t>
        </is>
      </c>
    </row>
    <row r="12" ht="42" customHeight="1">
      <c r="A12" t="n">
        <v>8</v>
      </c>
      <c r="B12" s="12" t="inlineStr">
        <is>
          <t>On Sales, use SUMIFS to total Net Total for Customer 'CUST-001' AND Product Code starting with 'PRD-A'.</t>
        </is>
      </c>
      <c r="C12" s="12" t="inlineStr">
        <is>
          <t>3.1 *IFS family</t>
        </is>
      </c>
      <c r="D12" s="12">
        <f>SUMIFS(H:H, C:C,"CUST-001", D:D,"PRD-A*")</f>
        <v/>
      </c>
    </row>
    <row r="14">
      <c r="A14" s="6" t="inlineStr">
        <is>
          <t>Self-check:</t>
        </is>
      </c>
      <c r="B14" s="13" t="inlineStr">
        <is>
          <t>Right-click any sheet tab → Unhide → Solutions to reveal the answer key. Try every task FIRST without peeking.</t>
        </is>
      </c>
    </row>
  </sheetData>
  <mergeCells count="3">
    <mergeCell ref="A1:D1"/>
    <mergeCell ref="B14:D1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8" customWidth="1" min="3" max="3"/>
    <col width="55" customWidth="1" min="4" max="4"/>
  </cols>
  <sheetData>
    <row r="1">
      <c r="A1" s="14" t="inlineStr">
        <is>
          <t>Solutions — Module 3 — Formulas &amp; Macros</t>
        </is>
      </c>
    </row>
    <row r="2">
      <c r="A2" s="13" t="inlineStr">
        <is>
          <t>These are the expected formulas / results for each Tasks sheet item. Try the task FIRST in real Excel, then peek here.</t>
        </is>
      </c>
    </row>
    <row r="4">
      <c r="A4" s="15" t="inlineStr">
        <is>
          <t>#</t>
        </is>
      </c>
      <c r="B4" s="15" t="inlineStr">
        <is>
          <t>Expected solution / formula</t>
        </is>
      </c>
      <c r="C4" s="15" t="inlineStr">
        <is>
          <t>Where it lands</t>
        </is>
      </c>
      <c r="D4" s="15" t="inlineStr">
        <is>
          <t>Verification</t>
        </is>
      </c>
    </row>
    <row r="5">
      <c r="A5" t="n">
        <v>1</v>
      </c>
      <c r="B5" s="16">
        <f>XLOOKUP(D2, Products!$A$2:$A$7, Products!$B$2:$B$7, "Not found")</f>
        <v/>
      </c>
      <c r="C5" s="12" t="inlineStr">
        <is>
          <t>Sales!I2:I61</t>
        </is>
      </c>
      <c r="D5" s="12" t="inlineStr">
        <is>
          <t>Column I matches the Product Name from the Products lookup table.</t>
        </is>
      </c>
    </row>
    <row r="6">
      <c r="A6" t="n">
        <v>2</v>
      </c>
      <c r="B6" s="16">
        <f>IFS(H2&gt;=500,"A", H2&gt;=200,"B", TRUE,"C")</f>
        <v/>
      </c>
      <c r="C6" s="12" t="inlineStr">
        <is>
          <t>Sales!J2:J61</t>
        </is>
      </c>
      <c r="D6" s="12" t="inlineStr">
        <is>
          <t>Tier letter populates for every row; no #N/A or empty cells.</t>
        </is>
      </c>
    </row>
    <row r="7">
      <c r="A7" t="n">
        <v>3</v>
      </c>
      <c r="B7" s="16">
        <f>FILTER(Sales!A2:H61, (Sales!E2:E61&gt;8)*(Sales!G2:G61&gt;0))</f>
        <v/>
      </c>
      <c r="C7" s="12" t="inlineStr">
        <is>
          <t>Any free cell with ~6 cols of room</t>
        </is>
      </c>
      <c r="D7" s="12" t="inlineStr">
        <is>
          <t>Result spills only orders matching both conditions; check by counting manually for a sample.</t>
        </is>
      </c>
    </row>
    <row r="8">
      <c r="A8" t="n">
        <v>4</v>
      </c>
      <c r="B8" s="16" t="inlineStr">
        <is>
          <t>Data → What-If Analysis → Goal Seek. Set cell B6, To value 1200, By changing B2.</t>
        </is>
      </c>
      <c r="C8" s="12" t="inlineStr">
        <is>
          <t>Loan Model!B2</t>
        </is>
      </c>
      <c r="D8" s="12" t="inlineStr">
        <is>
          <t>Principal updates so PMT formula in B6 = 1200. Approx $189,851 at 6.5%/30y.</t>
        </is>
      </c>
    </row>
    <row r="9">
      <c r="A9" t="n">
        <v>5</v>
      </c>
      <c r="B9" s="16" t="inlineStr">
        <is>
          <t>List rates in (e.g.) E3:E7. In F2 put =B6 (link to formula). Select E2:F7. Data → What-If → Data Table → Column input cell: B3.</t>
        </is>
      </c>
      <c r="C9" s="12" t="inlineStr">
        <is>
          <t>Loan Model!E2:F7 (or similar)</t>
        </is>
      </c>
      <c r="D9" s="12" t="inlineStr">
        <is>
          <t>Each rate row shows the corresponding PMT; values rise with rate.</t>
        </is>
      </c>
    </row>
    <row r="10">
      <c r="A10" t="n">
        <v>6</v>
      </c>
      <c r="B10" s="16" t="inlineStr">
        <is>
          <t>Row 4: change index 6→2.  Row 5: =IFERROR(10/0, 0).  Row 6: re-reference correct cell, e.g. =A1*2.  Row 7: =SUM(Sales!E:E).  Row 8: ensure space below the formula to spill.</t>
        </is>
      </c>
      <c r="C10" s="12" t="inlineStr">
        <is>
          <t>Broken Formulas!C4:C8</t>
        </is>
      </c>
      <c r="D10" s="12" t="inlineStr">
        <is>
          <t>All cells in column C return a number/text — none show #REF!, #DIV/0!, #NAME?, or #SPILL!.</t>
        </is>
      </c>
    </row>
    <row r="11">
      <c r="A11" t="n">
        <v>7</v>
      </c>
      <c r="B11" s="16" t="inlineStr">
        <is>
          <t>Developer → Record Macro → Name: FormatHeader. While recording: Bold (Ctrl+B), Fill Green (Home → Fill Color), Font Color White. Stop. Save As .xlsm.</t>
        </is>
      </c>
      <c r="C11" s="12" t="inlineStr">
        <is>
          <t>Stored in Personal/this workbook macro module</t>
        </is>
      </c>
      <c r="D11" s="12" t="inlineStr">
        <is>
          <t>Running FormatHeader on any cell makes it bold, green-filled, white text.</t>
        </is>
      </c>
    </row>
    <row r="12">
      <c r="A12" t="n">
        <v>8</v>
      </c>
      <c r="B12" s="16">
        <f>SUMIFS(Sales!H:H, Sales!C:C,"CUST-001", Sales!D:D,"PRD-A*")</f>
        <v/>
      </c>
      <c r="C12" s="12" t="inlineStr">
        <is>
          <t>Any cell</t>
        </is>
      </c>
      <c r="D12" s="12" t="inlineStr">
        <is>
          <t>Cross-check: filter Sales for CUST-001 + Product Codes starting PRD-A and SUM column H.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2026-05-03T12:12:37Z</dcterms:created>
  <dcterms:modified xsi:type="dcterms:W3CDTF">2026-05-03T12:38:08Z</dcterms:modified>
</cp:coreProperties>
</file>